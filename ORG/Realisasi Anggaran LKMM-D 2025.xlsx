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sa\Tisa\ORG\"/>
    </mc:Choice>
  </mc:AlternateContent>
  <xr:revisionPtr revIDLastSave="0" documentId="13_ncr:1_{690D0362-D609-4547-B63C-566808248C1B}" xr6:coauthVersionLast="45" xr6:coauthVersionMax="47" xr10:uidLastSave="{00000000-0000-0000-0000-000000000000}"/>
  <bookViews>
    <workbookView xWindow="-110" yWindow="-110" windowWidth="19420" windowHeight="10300" xr2:uid="{5E24040D-CA6B-4350-995C-5A28B04420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4" i="1" l="1"/>
  <c r="Q35" i="1"/>
  <c r="Q36" i="1"/>
  <c r="Q37" i="1"/>
  <c r="Q30" i="1"/>
  <c r="Q31" i="1"/>
  <c r="Q32" i="1"/>
  <c r="Q33" i="1"/>
  <c r="Q50" i="1"/>
  <c r="Q49" i="1"/>
  <c r="Q48" i="1"/>
  <c r="Q47" i="1"/>
  <c r="Q46" i="1"/>
  <c r="Q43" i="1"/>
  <c r="Q42" i="1"/>
  <c r="Q41" i="1"/>
  <c r="Q40" i="1"/>
  <c r="Q29" i="1"/>
  <c r="Q28" i="1"/>
  <c r="Q27" i="1"/>
  <c r="Q24" i="1"/>
  <c r="Q23" i="1"/>
  <c r="Q22" i="1"/>
  <c r="Q18" i="1"/>
  <c r="Q17" i="1"/>
  <c r="Q14" i="1"/>
  <c r="Q13" i="1" s="1"/>
  <c r="Q21" i="1" l="1"/>
  <c r="Q45" i="1"/>
  <c r="Q16" i="1"/>
  <c r="Q39" i="1"/>
  <c r="Q26" i="1"/>
  <c r="Q52" i="1" l="1"/>
  <c r="F7" i="1" l="1"/>
  <c r="F8" i="1"/>
  <c r="F9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5" i="1" l="1"/>
</calcChain>
</file>

<file path=xl/sharedStrings.xml><?xml version="1.0" encoding="utf-8"?>
<sst xmlns="http://schemas.openxmlformats.org/spreadsheetml/2006/main" count="193" uniqueCount="70">
  <si>
    <t>No.</t>
  </si>
  <si>
    <t>Uraian</t>
  </si>
  <si>
    <t>Rincian Perhitungan</t>
  </si>
  <si>
    <t>Harga Satuan (Rp)</t>
  </si>
  <si>
    <t>Jumlah (Rp)</t>
  </si>
  <si>
    <t>Nama Toko</t>
  </si>
  <si>
    <t>Satuan</t>
  </si>
  <si>
    <t>Jumlah</t>
  </si>
  <si>
    <t>Kertas HVS</t>
  </si>
  <si>
    <t>Rim</t>
  </si>
  <si>
    <t>FC Chaniago</t>
  </si>
  <si>
    <t>Kertas Linen (Sertifikat)</t>
  </si>
  <si>
    <t>Pcs</t>
  </si>
  <si>
    <t>Map Biola (Tempat Sertifikat)</t>
  </si>
  <si>
    <t>Meter</t>
  </si>
  <si>
    <t>Atiga Printing</t>
  </si>
  <si>
    <t>RO Galon</t>
  </si>
  <si>
    <t>Isi ulang</t>
  </si>
  <si>
    <t>Adhit Water RO</t>
  </si>
  <si>
    <t>Gelas Cup Plastik</t>
  </si>
  <si>
    <t>Pack</t>
  </si>
  <si>
    <t>Toko Eza Grosir</t>
  </si>
  <si>
    <t>Snack Ball</t>
  </si>
  <si>
    <t>Gulung</t>
  </si>
  <si>
    <t>Sampul Coklat Plano</t>
  </si>
  <si>
    <t>Lembar</t>
  </si>
  <si>
    <t>Hadiah (Snack)</t>
  </si>
  <si>
    <t>Kg</t>
  </si>
  <si>
    <t>Putra Risky Buah</t>
  </si>
  <si>
    <t>Selotip</t>
  </si>
  <si>
    <t>Permen (Ice Breaking)</t>
  </si>
  <si>
    <t>Batrai ABC</t>
  </si>
  <si>
    <t>Tali Rafia</t>
  </si>
  <si>
    <t>Buah</t>
  </si>
  <si>
    <t>Lakban</t>
  </si>
  <si>
    <t>Isi Stapler</t>
  </si>
  <si>
    <t>Tisu</t>
  </si>
  <si>
    <t>FreshCare</t>
  </si>
  <si>
    <t>Salonpas Koyo</t>
  </si>
  <si>
    <t>Air Mineral Botol</t>
  </si>
  <si>
    <t>Botol</t>
  </si>
  <si>
    <t>Roti</t>
  </si>
  <si>
    <t>TOTAL</t>
  </si>
  <si>
    <t>Benner 3x1 (LKMM-D)</t>
  </si>
  <si>
    <t>Buah Salak</t>
  </si>
  <si>
    <t>Buah Jeruk</t>
  </si>
  <si>
    <t>Buah Apel</t>
  </si>
  <si>
    <t>Buah Pri</t>
  </si>
  <si>
    <t>Buah Anggur</t>
  </si>
  <si>
    <t>Permen Kiss</t>
  </si>
  <si>
    <t>Le Mineral Botol</t>
  </si>
  <si>
    <t>Toko Nailis</t>
  </si>
  <si>
    <t>TOTAL PEMASUKAN</t>
  </si>
  <si>
    <t>TOTAL PENGELUARAN</t>
  </si>
  <si>
    <t>I</t>
  </si>
  <si>
    <t>Sekretaris</t>
  </si>
  <si>
    <t>II</t>
  </si>
  <si>
    <t>Sie. PDD</t>
  </si>
  <si>
    <t>Benner 3x1</t>
  </si>
  <si>
    <t>III</t>
  </si>
  <si>
    <t>Sie. Konsumsi</t>
  </si>
  <si>
    <t>Toko Anis</t>
  </si>
  <si>
    <t>IV</t>
  </si>
  <si>
    <t>Sie. Acara</t>
  </si>
  <si>
    <t>V</t>
  </si>
  <si>
    <t>Sie. Logistik</t>
  </si>
  <si>
    <t>VI</t>
  </si>
  <si>
    <t>Sie. Kesehatan</t>
  </si>
  <si>
    <t>Alfamart</t>
  </si>
  <si>
    <t>Buah Pir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</si>
</sst>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p&quot;* #,##0_-;\-&quot;Rp&quot;* #,##0_-;_-&quot;Rp&quot;* &quot;-&quot;_-;_-@_-"/>
    <numFmt numFmtId="165" formatCode="_-&quot;Rp&quot;* #,##0.00_-;\-&quot;Rp&quot;* #,##0.00_-;_-&quot;Rp&quot;* &quot;-&quot;??_-;_-@_-"/>
    <numFmt numFmtId="166" formatCode="_-[$Rp-3809]* #,##0_-;\-[$Rp-3809]* #,##0_-;_-[$Rp-3809]* &quot;-&quot;??_-;_-@_-"/>
    <numFmt numFmtId="167" formatCode="_-[$Rp-421]* #,##0_-;\-[$Rp-421]* #,##0_-;_-[$Rp-421]* &quot;-&quot;_-;_-@_-"/>
  </numFmts>
  <fonts count="5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/>
    <xf numFmtId="0" fontId="1" fillId="0" borderId="1" xfId="0" applyFont="1" applyBorder="1"/>
    <xf numFmtId="164" fontId="2" fillId="0" borderId="1" xfId="1" applyNumberFormat="1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/>
    </xf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7EDF-6B93-47CD-B46C-BE36398E0C04}">
  <dimension ref="A5:S53"/>
  <sheetViews>
    <sheetView tabSelected="1" topLeftCell="A10" zoomScale="54" zoomScaleNormal="69" workbookViewId="0">
      <selection activeCell="J26" sqref="J26"/>
    </sheetView>
  </sheetViews>
  <sheetFormatPr defaultRowHeight="14.5" x14ac:dyDescent="0.35"/>
  <cols>
    <col min="1" max="1" width="6.26953125" customWidth="1"/>
    <col min="2" max="2" width="25.54296875" customWidth="1"/>
    <col min="3" max="3" width="8.08984375" customWidth="1"/>
    <col min="4" max="4" width="6.7265625" customWidth="1"/>
    <col min="5" max="5" width="14.7265625" customWidth="1"/>
    <col min="6" max="6" width="13.1796875" customWidth="1"/>
    <col min="7" max="7" width="17.54296875" customWidth="1"/>
    <col min="10" max="10" width="26.7265625" customWidth="1"/>
    <col min="11" max="11" width="16.81640625" customWidth="1"/>
    <col min="12" max="12" width="4.08984375" bestFit="1" customWidth="1"/>
    <col min="13" max="13" width="28" bestFit="1" customWidth="1"/>
    <col min="14" max="14" width="8.81640625" bestFit="1" customWidth="1"/>
    <col min="15" max="15" width="8" bestFit="1" customWidth="1"/>
    <col min="16" max="16" width="20.1796875" bestFit="1" customWidth="1"/>
    <col min="17" max="17" width="14" bestFit="1" customWidth="1"/>
    <col min="18" max="18" width="16.7265625" bestFit="1" customWidth="1"/>
  </cols>
  <sheetData>
    <row r="5" spans="1:19" ht="15.5" x14ac:dyDescent="0.35">
      <c r="A5" s="28" t="s">
        <v>0</v>
      </c>
      <c r="B5" s="28" t="s">
        <v>1</v>
      </c>
      <c r="C5" s="28" t="s">
        <v>2</v>
      </c>
      <c r="D5" s="28"/>
      <c r="E5" s="29" t="s">
        <v>3</v>
      </c>
      <c r="F5" s="30" t="s">
        <v>4</v>
      </c>
      <c r="G5" s="31" t="s">
        <v>5</v>
      </c>
      <c r="J5" s="16" t="s">
        <v>52</v>
      </c>
      <c r="K5" s="17">
        <v>0</v>
      </c>
    </row>
    <row r="6" spans="1:19" ht="15.5" x14ac:dyDescent="0.35">
      <c r="A6" s="28"/>
      <c r="B6" s="28"/>
      <c r="C6" s="1" t="s">
        <v>6</v>
      </c>
      <c r="D6" s="1" t="s">
        <v>7</v>
      </c>
      <c r="E6" s="29"/>
      <c r="F6" s="30"/>
      <c r="G6" s="32"/>
      <c r="J6" s="16" t="s">
        <v>53</v>
      </c>
      <c r="K6" s="17">
        <v>659000</v>
      </c>
    </row>
    <row r="7" spans="1:19" ht="15.5" x14ac:dyDescent="0.35">
      <c r="A7" s="2">
        <v>1</v>
      </c>
      <c r="B7" s="3" t="s">
        <v>8</v>
      </c>
      <c r="C7" s="2" t="s">
        <v>9</v>
      </c>
      <c r="D7" s="2">
        <v>2</v>
      </c>
      <c r="E7" s="4">
        <v>60000</v>
      </c>
      <c r="F7" s="5">
        <f>D7*E7</f>
        <v>120000</v>
      </c>
      <c r="G7" s="2" t="s">
        <v>10</v>
      </c>
    </row>
    <row r="8" spans="1:19" ht="15.5" x14ac:dyDescent="0.35">
      <c r="A8" s="2">
        <v>2</v>
      </c>
      <c r="B8" s="6" t="s">
        <v>11</v>
      </c>
      <c r="C8" s="7" t="s">
        <v>12</v>
      </c>
      <c r="D8" s="7">
        <v>4</v>
      </c>
      <c r="E8" s="8">
        <v>5000</v>
      </c>
      <c r="F8" s="9">
        <f>E8*D8</f>
        <v>20000</v>
      </c>
      <c r="G8" s="10" t="s">
        <v>15</v>
      </c>
    </row>
    <row r="9" spans="1:19" ht="15.5" x14ac:dyDescent="0.35">
      <c r="A9" s="2">
        <v>3</v>
      </c>
      <c r="B9" s="6" t="s">
        <v>13</v>
      </c>
      <c r="C9" s="7" t="s">
        <v>12</v>
      </c>
      <c r="D9" s="7">
        <v>4</v>
      </c>
      <c r="E9" s="8">
        <v>3000</v>
      </c>
      <c r="F9" s="9">
        <f>E9*D9</f>
        <v>12000</v>
      </c>
      <c r="G9" s="10" t="s">
        <v>10</v>
      </c>
    </row>
    <row r="10" spans="1:19" ht="15.5" x14ac:dyDescent="0.35">
      <c r="A10" s="2">
        <v>4</v>
      </c>
      <c r="B10" s="6" t="s">
        <v>43</v>
      </c>
      <c r="C10" s="7" t="s">
        <v>14</v>
      </c>
      <c r="D10" s="7">
        <v>1</v>
      </c>
      <c r="E10" s="8">
        <v>60000</v>
      </c>
      <c r="F10" s="9">
        <v>60000</v>
      </c>
      <c r="G10" s="10" t="s">
        <v>15</v>
      </c>
      <c r="L10" s="33"/>
      <c r="M10" s="33"/>
      <c r="N10" s="33"/>
      <c r="O10" s="33"/>
      <c r="P10" s="33"/>
      <c r="Q10" s="33"/>
      <c r="R10" s="34"/>
      <c r="S10" s="35"/>
    </row>
    <row r="11" spans="1:19" ht="15.5" x14ac:dyDescent="0.35">
      <c r="A11" s="2">
        <v>5</v>
      </c>
      <c r="B11" s="6" t="s">
        <v>16</v>
      </c>
      <c r="C11" s="7" t="s">
        <v>17</v>
      </c>
      <c r="D11" s="7">
        <v>5</v>
      </c>
      <c r="E11" s="8">
        <v>5000</v>
      </c>
      <c r="F11" s="9">
        <f>D11*E11</f>
        <v>25000</v>
      </c>
      <c r="G11" s="10" t="s">
        <v>18</v>
      </c>
      <c r="L11" s="28" t="s">
        <v>0</v>
      </c>
      <c r="M11" s="28" t="s">
        <v>1</v>
      </c>
      <c r="N11" s="28" t="s">
        <v>2</v>
      </c>
      <c r="O11" s="28"/>
      <c r="P11" s="29" t="s">
        <v>3</v>
      </c>
      <c r="Q11" s="29" t="s">
        <v>4</v>
      </c>
      <c r="R11" s="28" t="s">
        <v>5</v>
      </c>
      <c r="S11" s="36"/>
    </row>
    <row r="12" spans="1:19" ht="15.5" x14ac:dyDescent="0.35">
      <c r="A12" s="2">
        <v>6</v>
      </c>
      <c r="B12" s="6" t="s">
        <v>19</v>
      </c>
      <c r="C12" s="7" t="s">
        <v>20</v>
      </c>
      <c r="D12" s="7">
        <v>3</v>
      </c>
      <c r="E12" s="8">
        <v>5500</v>
      </c>
      <c r="F12" s="9">
        <f>E12*D12</f>
        <v>16500</v>
      </c>
      <c r="G12" s="10" t="s">
        <v>21</v>
      </c>
      <c r="L12" s="28"/>
      <c r="M12" s="28"/>
      <c r="N12" s="19" t="s">
        <v>6</v>
      </c>
      <c r="O12" s="19" t="s">
        <v>7</v>
      </c>
      <c r="P12" s="29"/>
      <c r="Q12" s="29"/>
      <c r="R12" s="28"/>
      <c r="S12" s="36"/>
    </row>
    <row r="13" spans="1:19" ht="15.5" x14ac:dyDescent="0.35">
      <c r="A13" s="2">
        <v>7</v>
      </c>
      <c r="B13" s="6" t="s">
        <v>22</v>
      </c>
      <c r="C13" s="7" t="s">
        <v>20</v>
      </c>
      <c r="D13" s="7">
        <v>5</v>
      </c>
      <c r="E13" s="8">
        <v>15000</v>
      </c>
      <c r="F13" s="9">
        <f>E13*D13</f>
        <v>75000</v>
      </c>
      <c r="G13" s="10" t="s">
        <v>51</v>
      </c>
      <c r="L13" s="37" t="s">
        <v>54</v>
      </c>
      <c r="M13" s="38" t="s">
        <v>55</v>
      </c>
      <c r="N13" s="45"/>
      <c r="O13" s="45"/>
      <c r="P13" s="45"/>
      <c r="Q13" s="46">
        <f>SUM(Q14)</f>
        <v>120000</v>
      </c>
      <c r="R13" s="2"/>
      <c r="S13" s="39"/>
    </row>
    <row r="14" spans="1:19" ht="15.5" x14ac:dyDescent="0.35">
      <c r="A14" s="2">
        <v>8</v>
      </c>
      <c r="B14" s="11" t="s">
        <v>24</v>
      </c>
      <c r="C14" s="7" t="s">
        <v>25</v>
      </c>
      <c r="D14" s="7">
        <v>2</v>
      </c>
      <c r="E14" s="12">
        <v>3000</v>
      </c>
      <c r="F14" s="13">
        <f t="shared" ref="F14:F15" si="0">E14*D14</f>
        <v>6000</v>
      </c>
      <c r="G14" s="10" t="s">
        <v>10</v>
      </c>
      <c r="L14" s="37"/>
      <c r="M14" s="3" t="s">
        <v>8</v>
      </c>
      <c r="N14" s="2" t="s">
        <v>9</v>
      </c>
      <c r="O14" s="2">
        <v>2</v>
      </c>
      <c r="P14" s="4">
        <v>60000</v>
      </c>
      <c r="Q14" s="4">
        <f>O14*P14</f>
        <v>120000</v>
      </c>
      <c r="R14" s="2" t="s">
        <v>10</v>
      </c>
      <c r="S14" s="36"/>
    </row>
    <row r="15" spans="1:19" ht="15.5" x14ac:dyDescent="0.35">
      <c r="A15" s="2">
        <v>9</v>
      </c>
      <c r="B15" s="11" t="s">
        <v>26</v>
      </c>
      <c r="C15" s="7" t="s">
        <v>20</v>
      </c>
      <c r="D15" s="7">
        <v>6</v>
      </c>
      <c r="E15" s="12">
        <v>9000</v>
      </c>
      <c r="F15" s="13">
        <f t="shared" si="0"/>
        <v>54000</v>
      </c>
      <c r="G15" s="10" t="s">
        <v>21</v>
      </c>
      <c r="L15" s="45"/>
      <c r="M15" s="45"/>
      <c r="N15" s="45"/>
      <c r="O15" s="45"/>
      <c r="P15" s="45"/>
      <c r="Q15" s="45"/>
      <c r="R15" s="45"/>
      <c r="S15" s="36"/>
    </row>
    <row r="16" spans="1:19" ht="15.5" x14ac:dyDescent="0.35">
      <c r="A16" s="2">
        <v>10</v>
      </c>
      <c r="B16" s="11" t="s">
        <v>44</v>
      </c>
      <c r="C16" s="7" t="s">
        <v>27</v>
      </c>
      <c r="D16" s="7">
        <v>0.5</v>
      </c>
      <c r="E16" s="12">
        <v>16000</v>
      </c>
      <c r="F16" s="12">
        <f t="shared" ref="F16:F22" si="1">D16*E16</f>
        <v>8000</v>
      </c>
      <c r="G16" s="10" t="s">
        <v>28</v>
      </c>
      <c r="L16" s="40" t="s">
        <v>56</v>
      </c>
      <c r="M16" s="41" t="s">
        <v>57</v>
      </c>
      <c r="N16" s="47"/>
      <c r="O16" s="47"/>
      <c r="P16" s="47"/>
      <c r="Q16" s="48">
        <f>SUM(Q17:Q19)</f>
        <v>92000</v>
      </c>
      <c r="R16" s="42"/>
      <c r="S16" s="36"/>
    </row>
    <row r="17" spans="1:19" ht="15.5" x14ac:dyDescent="0.35">
      <c r="A17" s="2">
        <v>11</v>
      </c>
      <c r="B17" s="11" t="s">
        <v>45</v>
      </c>
      <c r="C17" s="7" t="s">
        <v>27</v>
      </c>
      <c r="D17" s="7">
        <v>0.5</v>
      </c>
      <c r="E17" s="12">
        <v>28000</v>
      </c>
      <c r="F17" s="12">
        <f t="shared" si="1"/>
        <v>14000</v>
      </c>
      <c r="G17" s="10" t="s">
        <v>28</v>
      </c>
      <c r="L17" s="18"/>
      <c r="M17" s="6" t="s">
        <v>11</v>
      </c>
      <c r="N17" s="7" t="s">
        <v>12</v>
      </c>
      <c r="O17" s="7">
        <v>4</v>
      </c>
      <c r="P17" s="8">
        <v>5000</v>
      </c>
      <c r="Q17" s="8">
        <f>P17*O17</f>
        <v>20000</v>
      </c>
      <c r="R17" s="10" t="s">
        <v>10</v>
      </c>
      <c r="S17" s="36"/>
    </row>
    <row r="18" spans="1:19" ht="15.5" x14ac:dyDescent="0.35">
      <c r="A18" s="2">
        <v>12</v>
      </c>
      <c r="B18" s="11" t="s">
        <v>47</v>
      </c>
      <c r="C18" s="7" t="s">
        <v>27</v>
      </c>
      <c r="D18" s="7">
        <v>0.5</v>
      </c>
      <c r="E18" s="12">
        <v>28000</v>
      </c>
      <c r="F18" s="12">
        <f t="shared" si="1"/>
        <v>14000</v>
      </c>
      <c r="G18" s="10" t="s">
        <v>28</v>
      </c>
      <c r="L18" s="18"/>
      <c r="M18" s="6" t="s">
        <v>13</v>
      </c>
      <c r="N18" s="7" t="s">
        <v>12</v>
      </c>
      <c r="O18" s="7">
        <v>4</v>
      </c>
      <c r="P18" s="8">
        <v>3000</v>
      </c>
      <c r="Q18" s="8">
        <f>P18*O18</f>
        <v>12000</v>
      </c>
      <c r="R18" s="10" t="s">
        <v>10</v>
      </c>
      <c r="S18" s="36"/>
    </row>
    <row r="19" spans="1:19" ht="15.5" x14ac:dyDescent="0.35">
      <c r="A19" s="2">
        <v>13</v>
      </c>
      <c r="B19" s="6" t="s">
        <v>46</v>
      </c>
      <c r="C19" s="7" t="s">
        <v>27</v>
      </c>
      <c r="D19" s="7">
        <v>0.5</v>
      </c>
      <c r="E19" s="14">
        <v>36000</v>
      </c>
      <c r="F19" s="8">
        <f t="shared" si="1"/>
        <v>18000</v>
      </c>
      <c r="G19" s="10" t="s">
        <v>28</v>
      </c>
      <c r="L19" s="18"/>
      <c r="M19" s="6" t="s">
        <v>58</v>
      </c>
      <c r="N19" s="7" t="s">
        <v>14</v>
      </c>
      <c r="O19" s="7">
        <v>1</v>
      </c>
      <c r="P19" s="8">
        <v>60000</v>
      </c>
      <c r="Q19" s="8">
        <v>60000</v>
      </c>
      <c r="R19" s="10" t="s">
        <v>15</v>
      </c>
      <c r="S19" s="39"/>
    </row>
    <row r="20" spans="1:19" ht="15.5" x14ac:dyDescent="0.35">
      <c r="A20" s="2">
        <v>14</v>
      </c>
      <c r="B20" s="6" t="s">
        <v>48</v>
      </c>
      <c r="C20" s="7" t="s">
        <v>27</v>
      </c>
      <c r="D20" s="7">
        <v>0.5</v>
      </c>
      <c r="E20" s="14">
        <v>28000</v>
      </c>
      <c r="F20" s="8">
        <f t="shared" si="1"/>
        <v>14000</v>
      </c>
      <c r="G20" s="10" t="s">
        <v>28</v>
      </c>
      <c r="L20" s="20"/>
      <c r="M20" s="20"/>
      <c r="N20" s="20"/>
      <c r="O20" s="20"/>
      <c r="P20" s="20"/>
      <c r="Q20" s="20"/>
      <c r="R20" s="20"/>
      <c r="S20" s="36"/>
    </row>
    <row r="21" spans="1:19" ht="15.5" x14ac:dyDescent="0.35">
      <c r="A21" s="2">
        <v>15</v>
      </c>
      <c r="B21" s="6" t="s">
        <v>29</v>
      </c>
      <c r="C21" s="7" t="s">
        <v>12</v>
      </c>
      <c r="D21" s="7">
        <v>1</v>
      </c>
      <c r="E21" s="14">
        <v>2000</v>
      </c>
      <c r="F21" s="8">
        <f t="shared" si="1"/>
        <v>2000</v>
      </c>
      <c r="G21" s="10" t="s">
        <v>10</v>
      </c>
      <c r="L21" s="18" t="s">
        <v>59</v>
      </c>
      <c r="M21" s="43" t="s">
        <v>60</v>
      </c>
      <c r="N21" s="20"/>
      <c r="O21" s="20"/>
      <c r="P21" s="20"/>
      <c r="Q21" s="48">
        <f>SUM(Q22:Q24)</f>
        <v>116500</v>
      </c>
      <c r="R21" s="10"/>
      <c r="S21" s="36"/>
    </row>
    <row r="22" spans="1:19" ht="15.5" x14ac:dyDescent="0.35">
      <c r="A22" s="2">
        <v>16</v>
      </c>
      <c r="B22" s="6" t="s">
        <v>49</v>
      </c>
      <c r="C22" s="7" t="s">
        <v>20</v>
      </c>
      <c r="D22" s="7">
        <v>6</v>
      </c>
      <c r="E22" s="14">
        <v>7000</v>
      </c>
      <c r="F22" s="9">
        <f t="shared" si="1"/>
        <v>42000</v>
      </c>
      <c r="G22" s="10" t="s">
        <v>21</v>
      </c>
      <c r="L22" s="18"/>
      <c r="M22" s="6" t="s">
        <v>16</v>
      </c>
      <c r="N22" s="7" t="s">
        <v>17</v>
      </c>
      <c r="O22" s="7">
        <v>5</v>
      </c>
      <c r="P22" s="8">
        <v>5000</v>
      </c>
      <c r="Q22" s="8">
        <f>O22*P22</f>
        <v>25000</v>
      </c>
      <c r="R22" s="10" t="s">
        <v>18</v>
      </c>
      <c r="S22" s="36"/>
    </row>
    <row r="23" spans="1:19" ht="15.5" x14ac:dyDescent="0.35">
      <c r="A23" s="2">
        <v>17</v>
      </c>
      <c r="B23" s="11" t="s">
        <v>30</v>
      </c>
      <c r="C23" s="7" t="s">
        <v>20</v>
      </c>
      <c r="D23" s="7">
        <v>1</v>
      </c>
      <c r="E23" s="12">
        <v>10000</v>
      </c>
      <c r="F23" s="13">
        <f>E23*D23</f>
        <v>10000</v>
      </c>
      <c r="G23" s="10" t="s">
        <v>21</v>
      </c>
      <c r="L23" s="18"/>
      <c r="M23" s="6" t="s">
        <v>19</v>
      </c>
      <c r="N23" s="7" t="s">
        <v>20</v>
      </c>
      <c r="O23" s="7">
        <v>3</v>
      </c>
      <c r="P23" s="8">
        <v>5500</v>
      </c>
      <c r="Q23" s="8">
        <f>P23*O23</f>
        <v>16500</v>
      </c>
      <c r="R23" s="10" t="s">
        <v>21</v>
      </c>
      <c r="S23" s="36"/>
    </row>
    <row r="24" spans="1:19" ht="15.5" x14ac:dyDescent="0.35">
      <c r="A24" s="2">
        <v>18</v>
      </c>
      <c r="B24" s="6" t="s">
        <v>50</v>
      </c>
      <c r="C24" s="10" t="s">
        <v>40</v>
      </c>
      <c r="D24" s="10">
        <v>8</v>
      </c>
      <c r="E24" s="15">
        <v>2500</v>
      </c>
      <c r="F24" s="15">
        <f>D24*E24</f>
        <v>20000</v>
      </c>
      <c r="G24" s="10" t="s">
        <v>21</v>
      </c>
      <c r="L24" s="18"/>
      <c r="M24" s="6" t="s">
        <v>22</v>
      </c>
      <c r="N24" s="7" t="s">
        <v>20</v>
      </c>
      <c r="O24" s="7">
        <v>5</v>
      </c>
      <c r="P24" s="8">
        <v>15000</v>
      </c>
      <c r="Q24" s="8">
        <f t="shared" ref="Q24" si="2">P24*O24</f>
        <v>75000</v>
      </c>
      <c r="R24" s="10" t="s">
        <v>61</v>
      </c>
      <c r="S24" s="36"/>
    </row>
    <row r="25" spans="1:19" ht="15.5" x14ac:dyDescent="0.35">
      <c r="A25" s="2">
        <v>19</v>
      </c>
      <c r="B25" s="11" t="s">
        <v>31</v>
      </c>
      <c r="C25" s="7" t="s">
        <v>20</v>
      </c>
      <c r="D25" s="7">
        <v>3</v>
      </c>
      <c r="E25" s="12">
        <v>10000</v>
      </c>
      <c r="F25" s="13">
        <f>D25*E25</f>
        <v>30000</v>
      </c>
      <c r="G25" s="10" t="s">
        <v>21</v>
      </c>
      <c r="L25" s="43"/>
      <c r="M25" s="20"/>
      <c r="N25" s="20"/>
      <c r="O25" s="20"/>
      <c r="P25" s="20"/>
      <c r="Q25" s="20"/>
      <c r="R25" s="20"/>
      <c r="S25" s="36"/>
    </row>
    <row r="26" spans="1:19" ht="15.5" x14ac:dyDescent="0.35">
      <c r="A26" s="2">
        <v>20</v>
      </c>
      <c r="B26" s="11" t="s">
        <v>32</v>
      </c>
      <c r="C26" s="7" t="s">
        <v>33</v>
      </c>
      <c r="D26" s="7">
        <v>1</v>
      </c>
      <c r="E26" s="12">
        <v>5000</v>
      </c>
      <c r="F26" s="13">
        <f>D26*E26</f>
        <v>5000</v>
      </c>
      <c r="G26" s="10" t="s">
        <v>21</v>
      </c>
      <c r="L26" s="18" t="s">
        <v>62</v>
      </c>
      <c r="M26" s="44" t="s">
        <v>63</v>
      </c>
      <c r="N26" s="20"/>
      <c r="O26" s="20"/>
      <c r="P26" s="20"/>
      <c r="Q26" s="49">
        <f>SUM(Q27:Q37)</f>
        <v>202000</v>
      </c>
      <c r="R26" s="10"/>
      <c r="S26" s="36"/>
    </row>
    <row r="27" spans="1:19" ht="15.5" x14ac:dyDescent="0.35">
      <c r="A27" s="2">
        <v>21</v>
      </c>
      <c r="B27" s="11" t="s">
        <v>34</v>
      </c>
      <c r="C27" s="7" t="s">
        <v>23</v>
      </c>
      <c r="D27" s="7">
        <v>1</v>
      </c>
      <c r="E27" s="12">
        <v>25000</v>
      </c>
      <c r="F27" s="13">
        <f>D27*E27</f>
        <v>25000</v>
      </c>
      <c r="G27" s="10" t="s">
        <v>10</v>
      </c>
      <c r="L27" s="11"/>
      <c r="M27" s="11" t="s">
        <v>24</v>
      </c>
      <c r="N27" s="7" t="s">
        <v>25</v>
      </c>
      <c r="O27" s="7">
        <v>2</v>
      </c>
      <c r="P27" s="12">
        <v>3000</v>
      </c>
      <c r="Q27" s="12">
        <f t="shared" ref="Q27:Q37" si="3">P27*O27</f>
        <v>6000</v>
      </c>
      <c r="R27" s="10" t="s">
        <v>10</v>
      </c>
      <c r="S27" s="36"/>
    </row>
    <row r="28" spans="1:19" ht="15.5" x14ac:dyDescent="0.35">
      <c r="A28" s="2">
        <v>22</v>
      </c>
      <c r="B28" s="11" t="s">
        <v>35</v>
      </c>
      <c r="C28" s="7" t="s">
        <v>20</v>
      </c>
      <c r="D28" s="7">
        <v>2</v>
      </c>
      <c r="E28" s="12">
        <v>2000</v>
      </c>
      <c r="F28" s="13">
        <f t="shared" ref="F28" si="4">E28*D28</f>
        <v>4000</v>
      </c>
      <c r="G28" s="10" t="s">
        <v>10</v>
      </c>
      <c r="L28" s="11"/>
      <c r="M28" s="11" t="s">
        <v>26</v>
      </c>
      <c r="N28" s="7" t="s">
        <v>20</v>
      </c>
      <c r="O28" s="7">
        <v>6</v>
      </c>
      <c r="P28" s="12">
        <v>9000</v>
      </c>
      <c r="Q28" s="12">
        <f t="shared" si="3"/>
        <v>54000</v>
      </c>
      <c r="R28" s="10" t="s">
        <v>21</v>
      </c>
      <c r="S28" s="36"/>
    </row>
    <row r="29" spans="1:19" ht="15.5" x14ac:dyDescent="0.35">
      <c r="A29" s="2">
        <v>23</v>
      </c>
      <c r="B29" s="11" t="s">
        <v>36</v>
      </c>
      <c r="C29" s="7" t="s">
        <v>20</v>
      </c>
      <c r="D29" s="7">
        <v>1</v>
      </c>
      <c r="E29" s="12">
        <v>6500</v>
      </c>
      <c r="F29" s="13">
        <f t="shared" ref="F29:F33" si="5">D29*E29</f>
        <v>6500</v>
      </c>
      <c r="G29" s="10" t="s">
        <v>21</v>
      </c>
      <c r="L29" s="11"/>
      <c r="M29" s="6" t="s">
        <v>44</v>
      </c>
      <c r="N29" s="7" t="s">
        <v>27</v>
      </c>
      <c r="O29" s="7">
        <v>0.5</v>
      </c>
      <c r="P29" s="14">
        <v>16000</v>
      </c>
      <c r="Q29" s="8">
        <f>O29*P29</f>
        <v>8000</v>
      </c>
      <c r="R29" s="10" t="s">
        <v>28</v>
      </c>
      <c r="S29" s="36"/>
    </row>
    <row r="30" spans="1:19" ht="15.5" x14ac:dyDescent="0.35">
      <c r="A30" s="2">
        <v>24</v>
      </c>
      <c r="B30" s="11" t="s">
        <v>37</v>
      </c>
      <c r="C30" s="7" t="s">
        <v>12</v>
      </c>
      <c r="D30" s="7">
        <v>1</v>
      </c>
      <c r="E30" s="12">
        <v>11000</v>
      </c>
      <c r="F30" s="13">
        <f>D30*E30</f>
        <v>11000</v>
      </c>
      <c r="G30" s="10" t="s">
        <v>21</v>
      </c>
      <c r="L30" s="11"/>
      <c r="M30" s="6" t="s">
        <v>45</v>
      </c>
      <c r="N30" s="7" t="s">
        <v>27</v>
      </c>
      <c r="O30" s="7">
        <v>0.5</v>
      </c>
      <c r="P30" s="14">
        <v>28000</v>
      </c>
      <c r="Q30" s="8">
        <f t="shared" ref="Q30:Q37" si="6">O30*P30</f>
        <v>14000</v>
      </c>
      <c r="R30" s="10" t="s">
        <v>28</v>
      </c>
      <c r="S30" s="36"/>
    </row>
    <row r="31" spans="1:19" ht="15.5" x14ac:dyDescent="0.35">
      <c r="A31" s="2">
        <v>25</v>
      </c>
      <c r="B31" s="11" t="s">
        <v>38</v>
      </c>
      <c r="C31" s="7" t="s">
        <v>20</v>
      </c>
      <c r="D31" s="7">
        <v>1</v>
      </c>
      <c r="E31" s="12">
        <v>9000</v>
      </c>
      <c r="F31" s="13">
        <f>D31*E31</f>
        <v>9000</v>
      </c>
      <c r="G31" s="10" t="s">
        <v>21</v>
      </c>
      <c r="L31" s="11"/>
      <c r="M31" s="6" t="s">
        <v>69</v>
      </c>
      <c r="N31" s="7" t="s">
        <v>27</v>
      </c>
      <c r="O31" s="7">
        <v>0.5</v>
      </c>
      <c r="P31" s="14">
        <v>28000</v>
      </c>
      <c r="Q31" s="8">
        <f t="shared" si="6"/>
        <v>14000</v>
      </c>
      <c r="R31" s="10" t="s">
        <v>28</v>
      </c>
      <c r="S31" s="36"/>
    </row>
    <row r="32" spans="1:19" ht="15.5" x14ac:dyDescent="0.35">
      <c r="A32" s="2">
        <v>26</v>
      </c>
      <c r="B32" s="6" t="s">
        <v>39</v>
      </c>
      <c r="C32" s="7" t="s">
        <v>40</v>
      </c>
      <c r="D32" s="7">
        <v>5</v>
      </c>
      <c r="E32" s="8">
        <v>2200</v>
      </c>
      <c r="F32" s="9">
        <f>E32*D32</f>
        <v>11000</v>
      </c>
      <c r="G32" s="10" t="s">
        <v>21</v>
      </c>
      <c r="L32" s="11"/>
      <c r="M32" s="6" t="s">
        <v>46</v>
      </c>
      <c r="N32" s="7" t="s">
        <v>27</v>
      </c>
      <c r="O32" s="7">
        <v>0.5</v>
      </c>
      <c r="P32" s="14">
        <v>36000</v>
      </c>
      <c r="Q32" s="8">
        <f t="shared" si="6"/>
        <v>18000</v>
      </c>
      <c r="R32" s="10" t="s">
        <v>28</v>
      </c>
      <c r="S32" s="36"/>
    </row>
    <row r="33" spans="1:19" ht="15.5" x14ac:dyDescent="0.35">
      <c r="A33" s="2">
        <v>27</v>
      </c>
      <c r="B33" s="11" t="s">
        <v>41</v>
      </c>
      <c r="C33" s="7" t="s">
        <v>20</v>
      </c>
      <c r="D33" s="7">
        <v>3</v>
      </c>
      <c r="E33" s="12">
        <v>9000</v>
      </c>
      <c r="F33" s="13">
        <f t="shared" si="5"/>
        <v>27000</v>
      </c>
      <c r="G33" s="10" t="s">
        <v>51</v>
      </c>
      <c r="L33" s="11"/>
      <c r="M33" s="6" t="s">
        <v>48</v>
      </c>
      <c r="N33" s="7" t="s">
        <v>27</v>
      </c>
      <c r="O33" s="7">
        <v>0.5</v>
      </c>
      <c r="P33" s="14">
        <v>28000</v>
      </c>
      <c r="Q33" s="8">
        <f t="shared" si="6"/>
        <v>14000</v>
      </c>
      <c r="R33" s="10" t="s">
        <v>28</v>
      </c>
      <c r="S33" s="36"/>
    </row>
    <row r="34" spans="1:19" ht="15.5" x14ac:dyDescent="0.35">
      <c r="A34" s="25"/>
      <c r="B34" s="26"/>
      <c r="C34" s="26"/>
      <c r="D34" s="26"/>
      <c r="E34" s="26"/>
      <c r="F34" s="26"/>
      <c r="G34" s="27"/>
      <c r="L34" s="11"/>
      <c r="M34" s="6" t="s">
        <v>29</v>
      </c>
      <c r="N34" s="7" t="s">
        <v>12</v>
      </c>
      <c r="O34" s="7">
        <v>1</v>
      </c>
      <c r="P34" s="14">
        <v>2000</v>
      </c>
      <c r="Q34" s="8">
        <f t="shared" si="6"/>
        <v>2000</v>
      </c>
      <c r="R34" s="10" t="s">
        <v>10</v>
      </c>
      <c r="S34" s="36"/>
    </row>
    <row r="35" spans="1:19" ht="15.5" x14ac:dyDescent="0.35">
      <c r="A35" s="20"/>
      <c r="B35" s="20" t="s">
        <v>42</v>
      </c>
      <c r="C35" s="20"/>
      <c r="D35" s="20"/>
      <c r="E35" s="20"/>
      <c r="F35" s="21">
        <f>SUM(F7:F33)</f>
        <v>659000</v>
      </c>
      <c r="G35" s="22"/>
      <c r="L35" s="11"/>
      <c r="M35" s="6" t="s">
        <v>49</v>
      </c>
      <c r="N35" s="7" t="s">
        <v>20</v>
      </c>
      <c r="O35" s="7">
        <v>6</v>
      </c>
      <c r="P35" s="14">
        <v>7000</v>
      </c>
      <c r="Q35" s="8">
        <f t="shared" si="6"/>
        <v>42000</v>
      </c>
      <c r="R35" s="10" t="s">
        <v>21</v>
      </c>
      <c r="S35" s="36"/>
    </row>
    <row r="36" spans="1:19" ht="15.5" x14ac:dyDescent="0.35">
      <c r="A36" s="20"/>
      <c r="B36" s="20"/>
      <c r="C36" s="20"/>
      <c r="D36" s="20"/>
      <c r="E36" s="20"/>
      <c r="F36" s="23"/>
      <c r="G36" s="24"/>
      <c r="L36" s="11"/>
      <c r="M36" s="6" t="s">
        <v>50</v>
      </c>
      <c r="N36" s="7" t="s">
        <v>40</v>
      </c>
      <c r="O36" s="7">
        <v>8</v>
      </c>
      <c r="P36" s="14">
        <v>2500</v>
      </c>
      <c r="Q36" s="8">
        <f t="shared" si="6"/>
        <v>20000</v>
      </c>
      <c r="R36" s="10"/>
      <c r="S36" s="36"/>
    </row>
    <row r="37" spans="1:19" ht="15.5" x14ac:dyDescent="0.35">
      <c r="L37" s="11"/>
      <c r="M37" s="11" t="s">
        <v>30</v>
      </c>
      <c r="N37" s="7" t="s">
        <v>20</v>
      </c>
      <c r="O37" s="7">
        <v>1</v>
      </c>
      <c r="P37" s="12">
        <v>10000</v>
      </c>
      <c r="Q37" s="8">
        <f t="shared" si="6"/>
        <v>10000</v>
      </c>
      <c r="R37" s="10" t="s">
        <v>21</v>
      </c>
      <c r="S37" s="36"/>
    </row>
    <row r="38" spans="1:19" ht="15.5" x14ac:dyDescent="0.35">
      <c r="L38" s="50"/>
      <c r="M38" s="50"/>
      <c r="N38" s="50"/>
      <c r="O38" s="50"/>
      <c r="P38" s="50"/>
      <c r="Q38" s="50"/>
      <c r="R38" s="50"/>
      <c r="S38" s="36"/>
    </row>
    <row r="39" spans="1:19" ht="15.5" x14ac:dyDescent="0.35">
      <c r="L39" s="18" t="s">
        <v>64</v>
      </c>
      <c r="M39" s="44" t="s">
        <v>65</v>
      </c>
      <c r="N39" s="20"/>
      <c r="O39" s="20"/>
      <c r="P39" s="20"/>
      <c r="Q39" s="49">
        <f>SUM(Q40:Q43)</f>
        <v>64000</v>
      </c>
      <c r="R39" s="10"/>
      <c r="S39" s="36"/>
    </row>
    <row r="40" spans="1:19" ht="15.5" x14ac:dyDescent="0.35">
      <c r="L40" s="18"/>
      <c r="M40" s="11" t="s">
        <v>31</v>
      </c>
      <c r="N40" s="7" t="s">
        <v>20</v>
      </c>
      <c r="O40" s="7">
        <v>3</v>
      </c>
      <c r="P40" s="12">
        <v>10000</v>
      </c>
      <c r="Q40" s="12">
        <f>O40*P40</f>
        <v>30000</v>
      </c>
      <c r="R40" s="10" t="s">
        <v>21</v>
      </c>
      <c r="S40" s="36"/>
    </row>
    <row r="41" spans="1:19" ht="15.5" x14ac:dyDescent="0.35">
      <c r="L41" s="18"/>
      <c r="M41" s="11" t="s">
        <v>32</v>
      </c>
      <c r="N41" s="7" t="s">
        <v>33</v>
      </c>
      <c r="O41" s="7">
        <v>1</v>
      </c>
      <c r="P41" s="12">
        <v>5000</v>
      </c>
      <c r="Q41" s="12">
        <f>O41*P41</f>
        <v>5000</v>
      </c>
      <c r="R41" s="10" t="s">
        <v>21</v>
      </c>
      <c r="S41" s="36"/>
    </row>
    <row r="42" spans="1:19" ht="15.5" x14ac:dyDescent="0.35">
      <c r="L42" s="18"/>
      <c r="M42" s="11" t="s">
        <v>34</v>
      </c>
      <c r="N42" s="7" t="s">
        <v>23</v>
      </c>
      <c r="O42" s="7">
        <v>1</v>
      </c>
      <c r="P42" s="12">
        <v>25000</v>
      </c>
      <c r="Q42" s="12">
        <f>O42*P42</f>
        <v>25000</v>
      </c>
      <c r="R42" s="10" t="s">
        <v>10</v>
      </c>
      <c r="S42" s="36"/>
    </row>
    <row r="43" spans="1:19" ht="15.5" x14ac:dyDescent="0.35">
      <c r="L43" s="11"/>
      <c r="M43" s="11" t="s">
        <v>35</v>
      </c>
      <c r="N43" s="7" t="s">
        <v>20</v>
      </c>
      <c r="O43" s="7">
        <v>2</v>
      </c>
      <c r="P43" s="12">
        <v>2000</v>
      </c>
      <c r="Q43" s="12">
        <f t="shared" ref="Q43" si="7">P43*O43</f>
        <v>4000</v>
      </c>
      <c r="R43" s="10" t="s">
        <v>10</v>
      </c>
      <c r="S43" s="36"/>
    </row>
    <row r="44" spans="1:19" ht="15.5" x14ac:dyDescent="0.35">
      <c r="L44" s="50"/>
      <c r="M44" s="50"/>
      <c r="N44" s="50"/>
      <c r="O44" s="50"/>
      <c r="P44" s="50"/>
      <c r="Q44" s="50"/>
      <c r="R44" s="50"/>
      <c r="S44" s="36"/>
    </row>
    <row r="45" spans="1:19" ht="15.5" x14ac:dyDescent="0.35">
      <c r="L45" s="18" t="s">
        <v>66</v>
      </c>
      <c r="M45" s="44" t="s">
        <v>67</v>
      </c>
      <c r="N45" s="20"/>
      <c r="O45" s="20"/>
      <c r="P45" s="20"/>
      <c r="Q45" s="49">
        <f>SUM(Q46:Q50)</f>
        <v>64500</v>
      </c>
      <c r="R45" s="10"/>
      <c r="S45" s="36"/>
    </row>
    <row r="46" spans="1:19" ht="15.5" x14ac:dyDescent="0.35">
      <c r="L46" s="11"/>
      <c r="M46" s="11" t="s">
        <v>36</v>
      </c>
      <c r="N46" s="7" t="s">
        <v>20</v>
      </c>
      <c r="O46" s="7">
        <v>1</v>
      </c>
      <c r="P46" s="12">
        <v>6500</v>
      </c>
      <c r="Q46" s="12">
        <f t="shared" ref="Q46:Q50" si="8">O46*P46</f>
        <v>6500</v>
      </c>
      <c r="R46" s="10" t="s">
        <v>68</v>
      </c>
      <c r="S46" s="36"/>
    </row>
    <row r="47" spans="1:19" ht="15.5" x14ac:dyDescent="0.35">
      <c r="L47" s="11"/>
      <c r="M47" s="11" t="s">
        <v>37</v>
      </c>
      <c r="N47" s="7" t="s">
        <v>12</v>
      </c>
      <c r="O47" s="7">
        <v>1</v>
      </c>
      <c r="P47" s="12">
        <v>11000</v>
      </c>
      <c r="Q47" s="12">
        <f>O47*P47</f>
        <v>11000</v>
      </c>
      <c r="R47" s="10" t="s">
        <v>68</v>
      </c>
      <c r="S47" s="36"/>
    </row>
    <row r="48" spans="1:19" ht="15.5" x14ac:dyDescent="0.35">
      <c r="L48" s="11"/>
      <c r="M48" s="11" t="s">
        <v>38</v>
      </c>
      <c r="N48" s="7" t="s">
        <v>20</v>
      </c>
      <c r="O48" s="7">
        <v>1</v>
      </c>
      <c r="P48" s="12">
        <v>9000</v>
      </c>
      <c r="Q48" s="12">
        <f>O48*P48</f>
        <v>9000</v>
      </c>
      <c r="R48" s="10" t="s">
        <v>21</v>
      </c>
      <c r="S48" s="36"/>
    </row>
    <row r="49" spans="12:19" ht="15.5" x14ac:dyDescent="0.35">
      <c r="L49" s="11"/>
      <c r="M49" s="6" t="s">
        <v>39</v>
      </c>
      <c r="N49" s="7" t="s">
        <v>40</v>
      </c>
      <c r="O49" s="7">
        <v>5</v>
      </c>
      <c r="P49" s="8">
        <v>2200</v>
      </c>
      <c r="Q49" s="8">
        <f>P49*O49</f>
        <v>11000</v>
      </c>
      <c r="R49" s="10" t="s">
        <v>21</v>
      </c>
      <c r="S49" s="36"/>
    </row>
    <row r="50" spans="12:19" ht="15.5" x14ac:dyDescent="0.35">
      <c r="L50" s="11"/>
      <c r="M50" s="11" t="s">
        <v>41</v>
      </c>
      <c r="N50" s="7" t="s">
        <v>12</v>
      </c>
      <c r="O50" s="7">
        <v>3</v>
      </c>
      <c r="P50" s="12">
        <v>9000</v>
      </c>
      <c r="Q50" s="12">
        <f t="shared" si="8"/>
        <v>27000</v>
      </c>
      <c r="R50" s="10" t="s">
        <v>21</v>
      </c>
      <c r="S50" s="36"/>
    </row>
    <row r="51" spans="12:19" ht="15.5" x14ac:dyDescent="0.35">
      <c r="L51" s="50"/>
      <c r="M51" s="50"/>
      <c r="N51" s="50"/>
      <c r="O51" s="50"/>
      <c r="P51" s="50"/>
      <c r="Q51" s="50"/>
      <c r="R51" s="50"/>
    </row>
    <row r="52" spans="12:19" x14ac:dyDescent="0.35">
      <c r="L52" s="20"/>
      <c r="M52" s="20" t="s">
        <v>42</v>
      </c>
      <c r="N52" s="20"/>
      <c r="O52" s="20"/>
      <c r="P52" s="20"/>
      <c r="Q52" s="51">
        <f>SUM(Q13,Q16,Q21,Q26,Q39,Q45,)</f>
        <v>659000</v>
      </c>
      <c r="R52" s="51"/>
    </row>
    <row r="53" spans="12:19" x14ac:dyDescent="0.35">
      <c r="L53" s="20"/>
      <c r="M53" s="20"/>
      <c r="N53" s="20"/>
      <c r="O53" s="20"/>
      <c r="P53" s="20"/>
      <c r="Q53" s="51"/>
      <c r="R53" s="51"/>
    </row>
  </sheetData>
  <mergeCells count="33">
    <mergeCell ref="L44:R44"/>
    <mergeCell ref="N45:P45"/>
    <mergeCell ref="L51:R51"/>
    <mergeCell ref="L52:L53"/>
    <mergeCell ref="M52:P53"/>
    <mergeCell ref="Q52:R53"/>
    <mergeCell ref="M25:R25"/>
    <mergeCell ref="N26:P26"/>
    <mergeCell ref="L38:R38"/>
    <mergeCell ref="N39:P39"/>
    <mergeCell ref="N13:P13"/>
    <mergeCell ref="L15:R15"/>
    <mergeCell ref="N16:P16"/>
    <mergeCell ref="L20:R20"/>
    <mergeCell ref="N21:P21"/>
    <mergeCell ref="L10:Q10"/>
    <mergeCell ref="R10:S10"/>
    <mergeCell ref="L11:L12"/>
    <mergeCell ref="M11:M12"/>
    <mergeCell ref="N11:O11"/>
    <mergeCell ref="P11:P12"/>
    <mergeCell ref="Q11:Q12"/>
    <mergeCell ref="R11:R12"/>
    <mergeCell ref="A35:A36"/>
    <mergeCell ref="B35:E36"/>
    <mergeCell ref="F35:G36"/>
    <mergeCell ref="A34:G34"/>
    <mergeCell ref="A5:A6"/>
    <mergeCell ref="B5:B6"/>
    <mergeCell ref="C5:D5"/>
    <mergeCell ref="E5:E6"/>
    <mergeCell ref="F5:F6"/>
    <mergeCell ref="G5:G6"/>
  </mergeCells>
  <pageMargins left="0.25" right="0.25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nikeo</cp:lastModifiedBy>
  <dcterms:created xsi:type="dcterms:W3CDTF">2025-10-28T00:58:14Z</dcterms:created>
  <dcterms:modified xsi:type="dcterms:W3CDTF">2025-11-08T11:57:35Z</dcterms:modified>
</cp:coreProperties>
</file>